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ca57b3c6f245b6" /></Relationships>
</file>

<file path=xl/workbook.xml><?xml version="1.0" encoding="utf-8"?>
<x:workbook xmlns:x="http://schemas.openxmlformats.org/spreadsheetml/2006/main">
  <x:sheets>
    <x:sheet xmlns:r="http://schemas.openxmlformats.org/officeDocument/2006/relationships" name="表紙" sheetId="1" r:id="R418a69e1fd404705"/>
    <x:sheet xmlns:r="http://schemas.openxmlformats.org/officeDocument/2006/relationships" name="改訂履歴" sheetId="2" r:id="R59eec020e1ce4866"/>
    <x:sheet xmlns:r="http://schemas.openxmlformats.org/officeDocument/2006/relationships" name="マッチング配点" sheetId="3" r:id="R8d73a45716834876"/>
    <x:sheet xmlns:r="http://schemas.openxmlformats.org/officeDocument/2006/relationships" name="採点サンプル" sheetId="4" r:id="R40925d8d56a64a73"/>
    <x:sheet xmlns:r="http://schemas.openxmlformats.org/officeDocument/2006/relationships" name="候補抽出ルール" sheetId="5" r:id="Rd547bc45b41a43c2"/>
    <x:sheet xmlns:r="http://schemas.openxmlformats.org/officeDocument/2006/relationships" name="マッチング疑似処理" sheetId="6" r:id="R68b25043eab84b7e"/>
    <x:sheet xmlns:r="http://schemas.openxmlformats.org/officeDocument/2006/relationships" name="契約期限判定" sheetId="7" r:id="R33f0b04f0b374e71"/>
    <x:sheet xmlns:r="http://schemas.openxmlformats.org/officeDocument/2006/relationships" name="日次バッチ仕様" sheetId="8" r:id="R45c4a4aacf544c63"/>
    <x:sheet xmlns:r="http://schemas.openxmlformats.org/officeDocument/2006/relationships" name="バッチテスト観点" sheetId="9" r:id="R2f679fd11331436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2deb91a2594c9e" /><Relationship Type="http://schemas.openxmlformats.org/officeDocument/2006/relationships/theme" Target="/xl/theme/theme1.xml" Id="R878841c99f704d18" /><Relationship Type="http://schemas.openxmlformats.org/officeDocument/2006/relationships/sharedStrings" Target="/xl/sharedStrings.xml" Id="Rce0c8ab730f34a6b" /><Relationship Type="http://schemas.openxmlformats.org/officeDocument/2006/relationships/worksheet" Target="/xl/worksheets/sheet1.xml" Id="R418a69e1fd404705" /><Relationship Type="http://schemas.openxmlformats.org/officeDocument/2006/relationships/worksheet" Target="/xl/worksheets/sheet2.xml" Id="R59eec020e1ce4866" /><Relationship Type="http://schemas.openxmlformats.org/officeDocument/2006/relationships/worksheet" Target="/xl/worksheets/sheet3.xml" Id="R8d73a45716834876" /><Relationship Type="http://schemas.openxmlformats.org/officeDocument/2006/relationships/worksheet" Target="/xl/worksheets/sheet4.xml" Id="R40925d8d56a64a73" /><Relationship Type="http://schemas.openxmlformats.org/officeDocument/2006/relationships/worksheet" Target="/xl/worksheets/sheet5.xml" Id="Rd547bc45b41a43c2" /><Relationship Type="http://schemas.openxmlformats.org/officeDocument/2006/relationships/worksheet" Target="/xl/worksheets/sheet6.xml" Id="R68b25043eab84b7e" /><Relationship Type="http://schemas.openxmlformats.org/officeDocument/2006/relationships/worksheet" Target="/xl/worksheets/sheet7.xml" Id="R33f0b04f0b374e71" /><Relationship Type="http://schemas.openxmlformats.org/officeDocument/2006/relationships/worksheet" Target="/xl/worksheets/sheet8.xml" Id="R45c4a4aacf544c63" /><Relationship Type="http://schemas.openxmlformats.org/officeDocument/2006/relationships/worksheet" Target="/xl/worksheets/sheet9.xml" Id="R2f679fd1133143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マッチング・バッチ設計書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DET-006</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マッチング・バッチ設計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4" hidden="0" customWidth="1"/>
    <x:col min="3" max="3" width="90" hidden="0" customWidth="1"/>
    <x:col min="4" max="4" width="55" hidden="0" customWidth="1"/>
  </x:cols>
  <x:sheetData>
    <x:row r="1">
      <x:c r="A1" s="40" t="str">
        <x:v>評価項目</x:v>
      </x:c>
      <x:c r="B1" s="40" t="str">
        <x:v>上限点</x:v>
      </x:c>
      <x:c r="C1" s="40" t="str">
        <x:v>計算ルール</x:v>
      </x:c>
      <x:c r="D1" s="40" t="str">
        <x:v>補足</x:v>
      </x:c>
    </x:row>
    <x:row r="2">
      <x:c r="A2" s="35" t="str">
        <x:v>必須スキル</x:v>
      </x:c>
      <x:c r="B2" s="35" t="str">
        <x:v>40</x:v>
      </x:c>
      <x:c r="C2" s="35" t="str">
        <x:v>案件必須スキルに対する一致率 × 40</x:v>
      </x:c>
      <x:c r="D2" s="35" t="str">
        <x:v>一致0件の場合は通常候補外</x:v>
      </x:c>
    </x:row>
    <x:row r="3">
      <x:c r="A3" s="35" t="str">
        <x:v>歓迎スキル</x:v>
      </x:c>
      <x:c r="B3" s="35" t="str">
        <x:v>15</x:v>
      </x:c>
      <x:c r="C3" s="35" t="str">
        <x:v>案件歓迎スキルに対する一致率 × 15</x:v>
      </x:c>
      <x:c r="D3" s="35" t="str">
        <x:v>歓迎スキル0件の場合は満点扱いではなく0点</x:v>
      </x:c>
    </x:row>
    <x:row r="4">
      <x:c r="A4" s="35" t="str">
        <x:v>経験年数</x:v>
      </x:c>
      <x:c r="B4" s="35" t="str">
        <x:v>15</x:v>
      </x:c>
      <x:c r="C4" s="35" t="str">
        <x:v>一致必須スキルごとの経験充足率平均 × 15</x:v>
      </x:c>
      <x:c r="D4" s="35" t="str">
        <x:v>充足率は100%を上限</x:v>
      </x:c>
    </x:row>
    <x:row r="5">
      <x:c r="A5" s="35" t="str">
        <x:v>担当工程</x:v>
      </x:c>
      <x:c r="B5" s="35" t="str">
        <x:v>10</x:v>
      </x:c>
      <x:c r="C5" s="35" t="str">
        <x:v>必要工程の一致率 × 10</x:v>
      </x:c>
      <x:c r="D5" s="35" t="str">
        <x:v>案件に必要工程が未設定なら0点</x:v>
      </x:c>
    </x:row>
    <x:row r="6">
      <x:c r="A6" s="35" t="str">
        <x:v>稼働可能時期</x:v>
      </x:c>
      <x:c r="B6" s="35" t="str">
        <x:v>10</x:v>
      </x:c>
      <x:c r="C6" s="35" t="str">
        <x:v>開始日までに待機=10、30日以内終了=8、60日以内=4、それ以外=0</x:v>
      </x:c>
      <x:c r="D6" s="35" t="str"/>
    </x:row>
    <x:row r="7">
      <x:c r="A7" s="35" t="str">
        <x:v>勤務地</x:v>
      </x:c>
      <x:c r="B7" s="35" t="str">
        <x:v>5</x:v>
      </x:c>
      <x:c r="C7" s="35" t="str">
        <x:v>最寄り駅・勤務地条件一致=5、リモート可=3、それ以外=0</x:v>
      </x:c>
      <x:c r="D7" s="35" t="str">
        <x:v>簡易判定</x:v>
      </x:c>
    </x:row>
    <x:row r="8">
      <x:c r="A8" s="35" t="str">
        <x:v>業種経験</x:v>
      </x:c>
      <x:c r="B8" s="35" t="str">
        <x:v>5</x:v>
      </x:c>
      <x:c r="C8" s="35" t="str">
        <x:v>同業種案件の参画履歴あり=5</x:v>
      </x:c>
      <x:c r="D8" s="35"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8" hidden="0" customWidth="1"/>
  </x:cols>
  <x:sheetData>
    <x:row r="1">
      <x:c r="A1" s="40" t="str">
        <x:v>候補者</x:v>
      </x:c>
      <x:c r="B1" s="40" t="str">
        <x:v>必須一致率</x:v>
      </x:c>
      <x:c r="C1" s="40" t="str">
        <x:v>歓迎一致率</x:v>
      </x:c>
      <x:c r="D1" s="40" t="str">
        <x:v>経験充足率</x:v>
      </x:c>
      <x:c r="E1" s="40" t="str">
        <x:v>工程一致率</x:v>
      </x:c>
      <x:c r="F1" s="40" t="str">
        <x:v>稼働点</x:v>
      </x:c>
      <x:c r="G1" s="40" t="str">
        <x:v>勤務地点</x:v>
      </x:c>
      <x:c r="H1" s="40" t="str">
        <x:v>業種点</x:v>
      </x:c>
      <x:c r="I1" s="40" t="str">
        <x:v>必須点</x:v>
      </x:c>
      <x:c r="J1" s="40" t="str">
        <x:v>歓迎点</x:v>
      </x:c>
      <x:c r="K1" s="40" t="str">
        <x:v>経験点</x:v>
      </x:c>
      <x:c r="L1" s="40" t="str">
        <x:v>工程点</x:v>
      </x:c>
      <x:c r="M1" s="40" t="str">
        <x:v>総合点</x:v>
      </x:c>
      <x:c r="N1" s="40" t="str">
        <x:v>候補判定</x:v>
      </x:c>
    </x:row>
    <x:row r="2">
      <x:c r="A2" s="35" t="str">
        <x:v>山田 太郎</x:v>
      </x:c>
      <x:c r="B2" s="49" t="n">
        <x:v>1</x:v>
      </x:c>
      <x:c r="C2" s="49" t="n">
        <x:v>0.67</x:v>
      </x:c>
      <x:c r="D2" s="49" t="n">
        <x:v>0.9</x:v>
      </x:c>
      <x:c r="E2" s="49" t="n">
        <x:v>1</x:v>
      </x:c>
      <x:c r="F2" s="35" t="n">
        <x:v>8</x:v>
      </x:c>
      <x:c r="G2" s="35" t="n">
        <x:v>5</x:v>
      </x:c>
      <x:c r="H2" s="35" t="n">
        <x:v>5</x:v>
      </x:c>
      <x:c r="I2" s="51" t="n">
        <x:f>B2*40</x:f>
        <x:v>40</x:v>
      </x:c>
      <x:c r="J2" s="51" t="n">
        <x:f>C2*15</x:f>
        <x:v>10.05</x:v>
      </x:c>
      <x:c r="K2" s="51" t="n">
        <x:f>D2*15</x:f>
        <x:v>13.5</x:v>
      </x:c>
      <x:c r="L2" s="51" t="n">
        <x:f>E2*10</x:f>
        <x:v>10</x:v>
      </x:c>
      <x:c r="M2" s="51" t="n">
        <x:f>MIN(100,SUM(I2:L2,F2:H2))</x:f>
        <x:v>91.55</x:v>
      </x:c>
      <x:c r="N2" s="35" t="str">
        <x:f>IF(B2=0,"通常候補外",IF(M2&gt;=80,"高適合",IF(M2&gt;=60,"候補","要確認")))</x:f>
        <x:v>高適合</x:v>
      </x:c>
    </x:row>
    <x:row r="3">
      <x:c r="A3" s="35" t="str">
        <x:v>鈴木 花子</x:v>
      </x:c>
      <x:c r="B3" s="49" t="n">
        <x:v>0.67</x:v>
      </x:c>
      <x:c r="C3" s="49" t="n">
        <x:v>0.33</x:v>
      </x:c>
      <x:c r="D3" s="49" t="n">
        <x:v>0.75</x:v>
      </x:c>
      <x:c r="E3" s="49" t="n">
        <x:v>0.5</x:v>
      </x:c>
      <x:c r="F3" s="35" t="n">
        <x:v>10</x:v>
      </x:c>
      <x:c r="G3" s="35" t="n">
        <x:v>3</x:v>
      </x:c>
      <x:c r="H3" s="35" t="n">
        <x:v>0</x:v>
      </x:c>
      <x:c r="I3" s="51" t="n">
        <x:f>B3*40</x:f>
        <x:v>26.8</x:v>
      </x:c>
      <x:c r="J3" s="51" t="n">
        <x:f>C3*15</x:f>
        <x:v>4.95</x:v>
      </x:c>
      <x:c r="K3" s="51" t="n">
        <x:f>D3*15</x:f>
        <x:v>11.25</x:v>
      </x:c>
      <x:c r="L3" s="51" t="n">
        <x:f>E3*10</x:f>
        <x:v>5</x:v>
      </x:c>
      <x:c r="M3" s="51" t="n">
        <x:f>MIN(100,SUM(I3:L3,F3:H3))</x:f>
        <x:v>61</x:v>
      </x:c>
      <x:c r="N3" s="35" t="str">
        <x:f>IF(B3=0,"通常候補外",IF(M3&gt;=80,"高適合",IF(M3&gt;=60,"候補","要確認")))</x:f>
        <x:v>候補</x:v>
      </x:c>
    </x:row>
    <x:row r="4">
      <x:c r="A4" s="35" t="str">
        <x:v>王 強</x:v>
      </x:c>
      <x:c r="B4" s="49" t="n">
        <x:v>0.33</x:v>
      </x:c>
      <x:c r="C4" s="49" t="n">
        <x:v>1</x:v>
      </x:c>
      <x:c r="D4" s="49" t="n">
        <x:v>0.6</x:v>
      </x:c>
      <x:c r="E4" s="49" t="n">
        <x:v>0.5</x:v>
      </x:c>
      <x:c r="F4" s="35" t="n">
        <x:v>8</x:v>
      </x:c>
      <x:c r="G4" s="35" t="n">
        <x:v>5</x:v>
      </x:c>
      <x:c r="H4" s="35" t="n">
        <x:v>5</x:v>
      </x:c>
      <x:c r="I4" s="51" t="n">
        <x:f>B4*40</x:f>
        <x:v>13.200000000000001</x:v>
      </x:c>
      <x:c r="J4" s="51" t="n">
        <x:f>C4*15</x:f>
        <x:v>15</x:v>
      </x:c>
      <x:c r="K4" s="51" t="n">
        <x:f>D4*15</x:f>
        <x:v>9</x:v>
      </x:c>
      <x:c r="L4" s="51" t="n">
        <x:f>E4*10</x:f>
        <x:v>5</x:v>
      </x:c>
      <x:c r="M4" s="51" t="n">
        <x:f>MIN(100,SUM(I4:L4,F4:H4))</x:f>
        <x:v>60.2</x:v>
      </x:c>
      <x:c r="N4" s="35" t="str">
        <x:f>IF(B4=0,"通常候補外",IF(M4&gt;=80,"高適合",IF(M4&gt;=60,"候補","要確認")))</x:f>
        <x:v>候補</x:v>
      </x:c>
    </x:row>
  </x:sheetData>
  <x:conditionalFormatting sqref="M2:M4">
    <x:cfRule type="colorScale" priority="1">
      <x:colorScale>
        <x:cfvo type="min"/>
        <x:cfvo type="percentile" val="50"/>
        <x:cfvo type="max"/>
        <x:color rgb="FFF4CCCC"/>
        <x:color rgb="FFFFF2CC"/>
        <x:color rgb="FFE2F0D9"/>
      </x:colorScale>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22" hidden="0" customWidth="1"/>
    <x:col min="3" max="3" width="60" hidden="0" customWidth="1"/>
    <x:col min="4" max="4" width="55" hidden="0" customWidth="1"/>
    <x:col min="5" max="5" width="22" hidden="0" customWidth="1"/>
  </x:cols>
  <x:sheetData>
    <x:row r="1">
      <x:c r="A1" s="40" t="str">
        <x:v>順序</x:v>
      </x:c>
      <x:c r="B1" s="40" t="str">
        <x:v>条件</x:v>
      </x:c>
      <x:c r="C1" s="40" t="str">
        <x:v>ルール</x:v>
      </x:c>
      <x:c r="D1" s="40" t="str">
        <x:v>判定方法</x:v>
      </x:c>
      <x:c r="E1" s="40" t="str">
        <x:v>不一致時</x:v>
      </x:c>
    </x:row>
    <x:row r="2">
      <x:c r="A2" s="35" t="str">
        <x:v>1</x:v>
      </x:c>
      <x:c r="B2" s="35" t="str">
        <x:v>在籍状態</x:v>
      </x:c>
      <x:c r="C2" s="35" t="str">
        <x:v>在籍であること</x:v>
      </x:c>
      <x:c r="D2" s="35" t="str">
        <x:v>employment_status='01'</x:v>
      </x:c>
      <x:c r="E2" s="35" t="str">
        <x:v>除外</x:v>
      </x:c>
    </x:row>
    <x:row r="3">
      <x:c r="A3" s="35" t="str">
        <x:v>2</x:v>
      </x:c>
      <x:c r="B3" s="35" t="str">
        <x:v>論理削除</x:v>
      </x:c>
      <x:c r="C3" s="35" t="str">
        <x:v>削除されていないこと</x:v>
      </x:c>
      <x:c r="D3" s="35" t="str">
        <x:v>deleted_at IS NULL</x:v>
      </x:c>
      <x:c r="E3" s="35" t="str">
        <x:v>除外</x:v>
      </x:c>
    </x:row>
    <x:row r="4">
      <x:c r="A4" s="35" t="str">
        <x:v>3</x:v>
      </x:c>
      <x:c r="B4" s="35" t="str">
        <x:v>稼働状態</x:v>
      </x:c>
      <x:c r="C4" s="35" t="str">
        <x:v>待機中・面談調整中・現場参画中</x:v>
      </x:c>
      <x:c r="D4" s="35" t="str">
        <x:v>work_status IN ('01','02','03')</x:v>
      </x:c>
      <x:c r="E4" s="35" t="str">
        <x:v>休職・退職除外</x:v>
      </x:c>
    </x:row>
    <x:row r="5">
      <x:c r="A5" s="35" t="str">
        <x:v>4</x:v>
      </x:c>
      <x:c r="B5" s="35" t="str">
        <x:v>稼働可能日</x:v>
      </x:c>
      <x:c r="C5" s="35" t="str">
        <x:v>待機中または契約終了日が案件開始日に近い</x:v>
      </x:c>
      <x:c r="D5" s="35" t="str">
        <x:v>契約終了日と開始予定日を比較</x:v>
      </x:c>
      <x:c r="E5" s="35" t="str">
        <x:v>採点</x:v>
      </x:c>
    </x:row>
    <x:row r="6">
      <x:c r="A6" s="35" t="str">
        <x:v>5</x:v>
      </x:c>
      <x:c r="B6" s="35" t="str">
        <x:v>必須スキル</x:v>
      </x:c>
      <x:c r="C6" s="35" t="str">
        <x:v>少なくとも1件一致</x:v>
      </x:c>
      <x:c r="D6" s="35" t="str">
        <x:v>mandatory_match_count &gt; 0</x:v>
      </x:c>
      <x:c r="E6" s="35" t="str">
        <x:v>通常候補外</x:v>
      </x:c>
    </x:row>
    <x:row r="7">
      <x:c r="A7" s="35" t="str">
        <x:v>6</x:v>
      </x:c>
      <x:c r="B7" s="35" t="str">
        <x:v>担当範囲</x:v>
      </x:c>
      <x:c r="C7" s="35" t="str">
        <x:v>権限により担当従業員のみ、または全社</x:v>
      </x:c>
      <x:c r="D7" s="35" t="str">
        <x:v>role/sales_user_id</x:v>
      </x:c>
      <x:c r="E7" s="35" t="str">
        <x:v>表示制御</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95" hidden="0" customWidth="1"/>
    <x:col min="3" max="3" width="35" hidden="0" customWidth="1"/>
  </x:cols>
  <x:sheetData>
    <x:row r="1">
      <x:c r="A1" s="40" t="str">
        <x:v>Step</x:v>
      </x:c>
      <x:c r="B1" s="40" t="str">
        <x:v>処理</x:v>
      </x:c>
      <x:c r="C1" s="40" t="str">
        <x:v>出力</x:v>
      </x:c>
    </x:row>
    <x:row r="2">
      <x:c r="A2" s="35" t="str">
        <x:v>1</x:v>
      </x:c>
      <x:c r="B2" s="35" t="str">
        <x:v>案件基本情報と必須・歓迎スキルを取得する。</x:v>
      </x:c>
      <x:c r="C2" s="35" t="str">
        <x:v>ProjectCondition</x:v>
      </x:c>
    </x:row>
    <x:row r="3">
      <x:c r="A3" s="35" t="str">
        <x:v>2</x:v>
      </x:c>
      <x:c r="B3" s="35" t="str">
        <x:v>在籍・状態・開始可能時期で従業員を一次抽出する。</x:v>
      </x:c>
      <x:c r="C3" s="35" t="str">
        <x:v>CandidateList</x:v>
      </x:c>
    </x:row>
    <x:row r="4">
      <x:c r="A4" s="35" t="str">
        <x:v>3</x:v>
      </x:c>
      <x:c r="B4" s="35" t="str">
        <x:v>候補者IDをまとめ、スキル・参画履歴を一括取得する。</x:v>
      </x:c>
      <x:c r="C4" s="35" t="str">
        <x:v>CandidateProfileMap</x:v>
      </x:c>
    </x:row>
    <x:row r="5">
      <x:c r="A5" s="35" t="str">
        <x:v>4</x:v>
      </x:c>
      <x:c r="B5" s="35" t="str">
        <x:v>候補者ごとに必須スキル一致率を計算する。</x:v>
      </x:c>
      <x:c r="C5" s="35" t="str">
        <x:v>mandatoryRate</x:v>
      </x:c>
    </x:row>
    <x:row r="6">
      <x:c r="A6" s="35" t="str">
        <x:v>5</x:v>
      </x:c>
      <x:c r="B6" s="35" t="str">
        <x:v>必須スキル一致0件の場合、通常候補外フラグを設定する。</x:v>
      </x:c>
      <x:c r="C6" s="35" t="str">
        <x:v>excludedNormally</x:v>
      </x:c>
    </x:row>
    <x:row r="7">
      <x:c r="A7" s="35" t="str">
        <x:v>6</x:v>
      </x:c>
      <x:c r="B7" s="35" t="str">
        <x:v>歓迎スキル、経験充足率、工程、稼働、勤務地、業種を採点する。</x:v>
      </x:c>
      <x:c r="C7" s="35" t="str">
        <x:v>ScoreDetail</x:v>
      </x:c>
    </x:row>
    <x:row r="8">
      <x:c r="A8" s="35" t="str">
        <x:v>7</x:v>
      </x:c>
      <x:c r="B8" s="35" t="str">
        <x:v>総合点を100点上限で合計する。</x:v>
      </x:c>
      <x:c r="C8" s="35" t="str">
        <x:v>totalScore</x:v>
      </x:c>
    </x:row>
    <x:row r="9">
      <x:c r="A9" s="35" t="str">
        <x:v>8</x:v>
      </x:c>
      <x:c r="B9" s="35" t="str">
        <x:v>一致条件と不足条件を生成する。</x:v>
      </x:c>
      <x:c r="C9" s="35" t="str">
        <x:v>reason</x:v>
      </x:c>
    </x:row>
    <x:row r="10">
      <x:c r="A10" s="35" t="str">
        <x:v>9</x:v>
      </x:c>
      <x:c r="B10" s="35" t="str">
        <x:v>総合点降順、必須一致数降順、氏名昇順で並べる。</x:v>
      </x:c>
      <x:c r="C10" s="35" t="str">
        <x:v>SortedResult</x:v>
      </x:c>
    </x:row>
    <x:row r="11">
      <x:c r="A11" s="35" t="str">
        <x:v>10</x:v>
      </x:c>
      <x:c r="B11" s="35" t="str">
        <x:v>実行日時・実行者とともに結果を保存または画面返却する。</x:v>
      </x:c>
      <x:c r="C11" s="35" t="str">
        <x:v>MatchingResult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20" hidden="0" customWidth="1"/>
    <x:col min="3" max="3" width="16" hidden="0" customWidth="1"/>
    <x:col min="4" max="4" width="20" hidden="0" customWidth="1"/>
    <x:col min="5" max="5" width="65" hidden="0" customWidth="1"/>
  </x:cols>
  <x:sheetData>
    <x:row r="1">
      <x:c r="A1" s="40" t="str">
        <x:v>条件</x:v>
      </x:c>
      <x:c r="B1" s="40" t="str">
        <x:v>表示名</x:v>
      </x:c>
      <x:c r="C1" s="40" t="str">
        <x:v>警告コード</x:v>
      </x:c>
      <x:c r="D1" s="40" t="str">
        <x:v>画面表示</x:v>
      </x:c>
      <x:c r="E1" s="40" t="str">
        <x:v>営業対応</x:v>
      </x:c>
    </x:row>
    <x:row r="2">
      <x:c r="A2" s="35" t="str">
        <x:v>契約終了日なし</x:v>
      </x:c>
      <x:c r="B2" s="35" t="str">
        <x:v>通常</x:v>
      </x:c>
      <x:c r="C2" s="35" t="str">
        <x:v>00</x:v>
      </x:c>
      <x:c r="D2" s="35" t="str">
        <x:v>背景色なし</x:v>
      </x:c>
      <x:c r="E2" s="35" t="str">
        <x:v>終了日入力を求めるかは運用判断</x:v>
      </x:c>
    </x:row>
    <x:row r="3">
      <x:c r="A3" s="35" t="str">
        <x:v>残31日以上</x:v>
      </x:c>
      <x:c r="B3" s="35" t="str">
        <x:v>通常</x:v>
      </x:c>
      <x:c r="C3" s="35" t="str">
        <x:v>00</x:v>
      </x:c>
      <x:c r="D3" s="35" t="str">
        <x:v>背景色なし</x:v>
      </x:c>
      <x:c r="E3" s="35" t="str"/>
    </x:row>
    <x:row r="4">
      <x:c r="A4" s="35" t="str">
        <x:v>残15～30日</x:v>
      </x:c>
      <x:c r="B4" s="35" t="str">
        <x:v>注意</x:v>
      </x:c>
      <x:c r="C4" s="35" t="str">
        <x:v>01</x:v>
      </x:c>
      <x:c r="D4" s="35" t="str">
        <x:v>黄色</x:v>
      </x:c>
      <x:c r="E4" s="35" t="str">
        <x:v>次案件・更新確認</x:v>
      </x:c>
    </x:row>
    <x:row r="5">
      <x:c r="A5" s="35" t="str">
        <x:v>残0～14日</x:v>
      </x:c>
      <x:c r="B5" s="35" t="str">
        <x:v>警告</x:v>
      </x:c>
      <x:c r="C5" s="35" t="str">
        <x:v>02</x:v>
      </x:c>
      <x:c r="D5" s="35" t="str">
        <x:v>オレンジ</x:v>
      </x:c>
      <x:c r="E5" s="35" t="str">
        <x:v>優先対応</x:v>
      </x:c>
    </x:row>
    <x:row r="6">
      <x:c r="A6" s="35" t="str">
        <x:v>残日数マイナス</x:v>
      </x:c>
      <x:c r="B6" s="35" t="str">
        <x:v>期限超過</x:v>
      </x:c>
      <x:c r="C6" s="35" t="str">
        <x:v>03</x:v>
      </x:c>
      <x:c r="D6" s="35" t="str">
        <x:v>赤</x:v>
      </x:c>
      <x:c r="E6" s="35" t="str">
        <x:v>状態・契約情報を確認</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10" hidden="0" customWidth="1"/>
  </x:cols>
  <x:sheetData>
    <x:row r="1">
      <x:c r="A1" s="40" t="str">
        <x:v>項目</x:v>
      </x:c>
      <x:c r="B1" s="40" t="str">
        <x:v>仕様</x:v>
      </x:c>
    </x:row>
    <x:row r="2">
      <x:c r="A2" s="35" t="str">
        <x:v>ジョブID</x:v>
      </x:c>
      <x:c r="B2" s="35" t="str">
        <x:v>JOB-CONTRACT-ALERT</x:v>
      </x:c>
    </x:row>
    <x:row r="3">
      <x:c r="A3" s="35" t="str">
        <x:v>ジョブ名</x:v>
      </x:c>
      <x:c r="B3" s="35" t="str">
        <x:v>契約期限・稼働状態確認</x:v>
      </x:c>
    </x:row>
    <x:row r="4">
      <x:c r="A4" s="35" t="str">
        <x:v>実行時刻</x:v>
      </x:c>
      <x:c r="B4" s="35" t="str">
        <x:v>毎日06:00</x:v>
      </x:c>
    </x:row>
    <x:row r="5">
      <x:c r="A5" s="35" t="str">
        <x:v>入力</x:v>
      </x:c>
      <x:c r="B5" s="35" t="str">
        <x:v>基準日（省略時はシステム日付）</x:v>
      </x:c>
    </x:row>
    <x:row r="6">
      <x:c r="A6" s="35" t="str">
        <x:v>対象</x:v>
      </x:c>
      <x:c r="B6" s="35" t="str">
        <x:v>参画状態=参画中、契約終了日あり、論理削除なし</x:v>
      </x:c>
    </x:row>
    <x:row r="7">
      <x:c r="A7" s="35" t="str">
        <x:v>処理1</x:v>
      </x:c>
      <x:c r="B7" s="35" t="str">
        <x:v>残日数・警告レベルを算出し、ダッシュボード表示用の検索対象とする。</x:v>
      </x:c>
    </x:row>
    <x:row r="8">
      <x:c r="A8" s="35" t="str">
        <x:v>処理2</x:v>
      </x:c>
      <x:c r="B8" s="35" t="str">
        <x:v>契約終了日超過かつ有効な次参画がない従業員を抽出する。</x:v>
      </x:c>
    </x:row>
    <x:row r="9">
      <x:c r="A9" s="35" t="str">
        <x:v>処理3</x:v>
      </x:c>
      <x:c r="B9" s="35" t="str">
        <x:v>自動状態更新を採用する場合、work_statusを待機中へ更新する。採用しない場合は要確認一覧へ出す。</x:v>
      </x:c>
    </x:row>
    <x:row r="10">
      <x:c r="A10" s="35" t="str">
        <x:v>二重起動</x:v>
      </x:c>
      <x:c r="B10" s="35" t="str">
        <x:v>ジョブロックまたは実行管理テーブルで同時実行を防止する。</x:v>
      </x:c>
    </x:row>
    <x:row r="11">
      <x:c r="A11" s="35" t="str">
        <x:v>再実行</x:v>
      </x:c>
      <x:c r="B11" s="35" t="str">
        <x:v>同一基準日で再実行可能な冪等処理とする。</x:v>
      </x:c>
    </x:row>
    <x:row r="12">
      <x:c r="A12" s="35" t="str">
        <x:v>正常終了</x:v>
      </x:c>
      <x:c r="B12" s="35" t="str">
        <x:v>対象件数・更新件数をログ出力し終了コード0。</x:v>
      </x:c>
    </x:row>
    <x:row r="13">
      <x:c r="A13" s="35" t="str">
        <x:v>異常終了</x:v>
      </x:c>
      <x:c r="B13" s="35" t="str">
        <x:v>トランザクションをロールバックし、エラー内容と処理対象IDをログ出力。</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50" hidden="0" customWidth="1"/>
    <x:col min="3" max="3" width="60" hidden="0" customWidth="1"/>
    <x:col min="4" max="4" width="18" hidden="0" customWidth="1"/>
  </x:cols>
  <x:sheetData>
    <x:row r="1">
      <x:c r="A1" s="40" t="str">
        <x:v>テストID</x:v>
      </x:c>
      <x:c r="B1" s="40" t="str">
        <x:v>条件</x:v>
      </x:c>
      <x:c r="C1" s="40" t="str">
        <x:v>期待結果</x:v>
      </x:c>
      <x:c r="D1" s="40" t="str">
        <x:v>分類</x:v>
      </x:c>
    </x:row>
    <x:row r="2">
      <x:c r="A2" s="35" t="str">
        <x:v>BT-001</x:v>
      </x:c>
      <x:c r="B2" s="35" t="str">
        <x:v>契約終了日が31日後</x:v>
      </x:c>
      <x:c r="C2" s="35" t="str">
        <x:v>警告なし</x:v>
      </x:c>
      <x:c r="D2" s="35" t="str">
        <x:v>境界値</x:v>
      </x:c>
    </x:row>
    <x:row r="3">
      <x:c r="A3" s="35" t="str">
        <x:v>BT-002</x:v>
      </x:c>
      <x:c r="B3" s="35" t="str">
        <x:v>契約終了日が30日後</x:v>
      </x:c>
      <x:c r="C3" s="35" t="str">
        <x:v>注意</x:v>
      </x:c>
      <x:c r="D3" s="35" t="str">
        <x:v>境界値</x:v>
      </x:c>
    </x:row>
    <x:row r="4">
      <x:c r="A4" s="35" t="str">
        <x:v>BT-003</x:v>
      </x:c>
      <x:c r="B4" s="35" t="str">
        <x:v>契約終了日が15日後</x:v>
      </x:c>
      <x:c r="C4" s="35" t="str">
        <x:v>注意</x:v>
      </x:c>
      <x:c r="D4" s="35" t="str">
        <x:v>境界値</x:v>
      </x:c>
    </x:row>
    <x:row r="5">
      <x:c r="A5" s="35" t="str">
        <x:v>BT-004</x:v>
      </x:c>
      <x:c r="B5" s="35" t="str">
        <x:v>契約終了日が14日後</x:v>
      </x:c>
      <x:c r="C5" s="35" t="str">
        <x:v>警告</x:v>
      </x:c>
      <x:c r="D5" s="35" t="str">
        <x:v>境界値</x:v>
      </x:c>
    </x:row>
    <x:row r="6">
      <x:c r="A6" s="35" t="str">
        <x:v>BT-005</x:v>
      </x:c>
      <x:c r="B6" s="35" t="str">
        <x:v>契約終了日が当日</x:v>
      </x:c>
      <x:c r="C6" s="35" t="str">
        <x:v>警告</x:v>
      </x:c>
      <x:c r="D6" s="35" t="str">
        <x:v>境界値</x:v>
      </x:c>
    </x:row>
    <x:row r="7">
      <x:c r="A7" s="35" t="str">
        <x:v>BT-006</x:v>
      </x:c>
      <x:c r="B7" s="35" t="str">
        <x:v>契約終了日が前日</x:v>
      </x:c>
      <x:c r="C7" s="35" t="str">
        <x:v>期限超過</x:v>
      </x:c>
      <x:c r="D7" s="35" t="str">
        <x:v>異常状態</x:v>
      </x:c>
    </x:row>
    <x:row r="8">
      <x:c r="A8" s="35" t="str">
        <x:v>BT-007</x:v>
      </x:c>
      <x:c r="B8" s="35" t="str">
        <x:v>契約終了日がNULL</x:v>
      </x:c>
      <x:c r="C8" s="35" t="str">
        <x:v>対象外</x:v>
      </x:c>
      <x:c r="D8" s="35" t="str">
        <x:v>NULL</x:v>
      </x:c>
    </x:row>
    <x:row r="9">
      <x:c r="A9" s="35" t="str">
        <x:v>BT-008</x:v>
      </x:c>
      <x:c r="B9" s="35" t="str">
        <x:v>期限超過だが次参画あり</x:v>
      </x:c>
      <x:c r="C9" s="35" t="str">
        <x:v>待機中へ変更しない</x:v>
      </x:c>
      <x:c r="D9" s="35" t="str">
        <x:v>業務ルール</x:v>
      </x:c>
    </x:row>
    <x:row r="10">
      <x:c r="A10" s="35" t="str">
        <x:v>BT-009</x:v>
      </x:c>
      <x:c r="B10" s="35" t="str">
        <x:v>同一基準日で再実行</x:v>
      </x:c>
      <x:c r="C10" s="35" t="str">
        <x:v>結果重複・二重更新なし</x:v>
      </x:c>
      <x:c r="D10" s="35" t="str">
        <x:v>冪等性</x:v>
      </x:c>
    </x:row>
    <x:row r="11">
      <x:c r="A11" s="35" t="str">
        <x:v>BT-010</x:v>
      </x:c>
      <x:c r="B11" s="35" t="str">
        <x:v>途中でDB例外</x:v>
      </x:c>
      <x:c r="C11" s="35" t="str">
        <x:v>ロールバック・ERRORログ</x:v>
      </x:c>
      <x:c r="D11" s="35" t="str">
        <x:v>異常系</x:v>
      </x:c>
    </x:row>
  </x:sheetData>
  <x:pageMargins left="0.7" right="0.7" top="0.75" bottom="0.75" header="0.3" footer="0.3"/>
</x:worksheet>
</file>